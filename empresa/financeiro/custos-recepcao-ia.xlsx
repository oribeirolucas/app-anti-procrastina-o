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 e caixa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Custos mens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R$&quot; #,##0;[Red]-&quot;R$&quot; 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165" fontId="0" fillId="0" borderId="0" pivotButton="0" quotePrefix="0" xfId="0"/>
    <xf numFmtId="0" fontId="2" fillId="4" borderId="0" pivotButton="0" quotePrefix="0" xfId="0"/>
    <xf numFmtId="165" fontId="2" fillId="4" borderId="0" pivotButton="0" quotePrefix="0" xfId="0"/>
    <xf numFmtId="0" fontId="3" fillId="0" borderId="0" pivotButton="0" quotePrefix="0" xfId="0"/>
    <xf numFmtId="165" fontId="3" fillId="5" borderId="0" pivotButton="0" quotePrefix="0" xfId="0"/>
    <xf numFmtId="0" fontId="4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3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Linha</t>
        </is>
      </c>
      <c r="B1" s="1" t="inlineStr">
        <is>
          <t>Mês 1</t>
        </is>
      </c>
      <c r="C1" s="1" t="inlineStr">
        <is>
          <t>Mês 2</t>
        </is>
      </c>
      <c r="D1" s="1" t="inlineStr">
        <is>
          <t>Mês 3</t>
        </is>
      </c>
      <c r="E1" s="1" t="inlineStr">
        <is>
          <t>Mês 4</t>
        </is>
      </c>
      <c r="F1" s="1" t="inlineStr">
        <is>
          <t>Mês 5</t>
        </is>
      </c>
      <c r="G1" s="1" t="inlineStr">
        <is>
          <t>Mês 6</t>
        </is>
      </c>
      <c r="H1" s="1" t="inlineStr">
        <is>
          <t>Total</t>
        </is>
      </c>
    </row>
    <row r="2">
      <c r="A2" t="inlineStr">
        <is>
          <t>Clientes ativos (fim do mês)</t>
        </is>
      </c>
      <c r="B2" s="2" t="n">
        <v>8</v>
      </c>
      <c r="C2" s="2" t="n">
        <v>22</v>
      </c>
      <c r="D2" s="2" t="n">
        <v>40</v>
      </c>
      <c r="E2" s="2" t="n">
        <v>62</v>
      </c>
      <c r="F2" s="2" t="n">
        <v>90</v>
      </c>
      <c r="G2" s="2" t="n">
        <v>107</v>
      </c>
    </row>
    <row r="3">
      <c r="A3" t="inlineStr">
        <is>
          <t>Clientes novos</t>
        </is>
      </c>
      <c r="B3">
        <f>B2</f>
        <v/>
      </c>
      <c r="C3">
        <f>C2-B2</f>
        <v/>
      </c>
      <c r="D3">
        <f>D2-C2</f>
        <v/>
      </c>
      <c r="E3">
        <f>E2-D2</f>
        <v/>
      </c>
      <c r="F3">
        <f>F2-E2</f>
        <v/>
      </c>
      <c r="G3">
        <f>G2-F2</f>
        <v/>
      </c>
    </row>
    <row r="4">
      <c r="A4" t="inlineStr">
        <is>
          <t>Receita recorrente (MRR)</t>
        </is>
      </c>
      <c r="B4" s="3">
        <f>B2*Premissas!$B$3</f>
        <v/>
      </c>
      <c r="C4" s="3">
        <f>C2*Premissas!$B$3</f>
        <v/>
      </c>
      <c r="D4" s="3">
        <f>D2*Premissas!$B$3</f>
        <v/>
      </c>
      <c r="E4" s="3">
        <f>E2*Premissas!$B$3</f>
        <v/>
      </c>
      <c r="F4" s="3">
        <f>F2*Premissas!$B$3</f>
        <v/>
      </c>
      <c r="G4" s="3">
        <f>G2*Premissas!$B$3</f>
        <v/>
      </c>
      <c r="H4" s="3">
        <f>SUM(B4:G4)</f>
        <v/>
      </c>
    </row>
    <row r="5">
      <c r="A5" t="inlineStr">
        <is>
          <t>Receita de setup</t>
        </is>
      </c>
      <c r="B5" s="3">
        <f>B3*Premissas!$B$4*Premissas!$B$5</f>
        <v/>
      </c>
      <c r="C5" s="3">
        <f>C3*Premissas!$B$4*Premissas!$B$5</f>
        <v/>
      </c>
      <c r="D5" s="3">
        <f>D3*Premissas!$B$4*Premissas!$B$5</f>
        <v/>
      </c>
      <c r="E5" s="3">
        <f>E3*Premissas!$B$4*Premissas!$B$5</f>
        <v/>
      </c>
      <c r="F5" s="3">
        <f>F3*Premissas!$B$4*Premissas!$B$5</f>
        <v/>
      </c>
      <c r="G5" s="3">
        <f>G3*Premissas!$B$4*Premissas!$B$5</f>
        <v/>
      </c>
      <c r="H5" s="3">
        <f>SUM(B5:G5)</f>
        <v/>
      </c>
    </row>
    <row r="6">
      <c r="A6" s="4" t="inlineStr">
        <is>
          <t>RECEITA TOTAL</t>
        </is>
      </c>
      <c r="B6" s="5">
        <f>B4+B5</f>
        <v/>
      </c>
      <c r="C6" s="5">
        <f>C4+C5</f>
        <v/>
      </c>
      <c r="D6" s="5">
        <f>D4+D5</f>
        <v/>
      </c>
      <c r="E6" s="5">
        <f>E4+E5</f>
        <v/>
      </c>
      <c r="F6" s="5">
        <f>F4+F5</f>
        <v/>
      </c>
      <c r="G6" s="5">
        <f>G4+G5</f>
        <v/>
      </c>
      <c r="H6" s="5">
        <f>SUM(B6:G6)</f>
        <v/>
      </c>
    </row>
    <row r="7">
      <c r="A7" t="inlineStr">
        <is>
          <t>(-) Custo variável dos clientes</t>
        </is>
      </c>
      <c r="B7" s="3">
        <f>-B2*Premissas!$B$6</f>
        <v/>
      </c>
      <c r="C7" s="3">
        <f>-C2*Premissas!$B$6</f>
        <v/>
      </c>
      <c r="D7" s="3">
        <f>-D2*Premissas!$B$6</f>
        <v/>
      </c>
      <c r="E7" s="3">
        <f>-E2*Premissas!$B$6</f>
        <v/>
      </c>
      <c r="F7" s="3">
        <f>-F2*Premissas!$B$6</f>
        <v/>
      </c>
      <c r="G7" s="3">
        <f>-G2*Premissas!$B$6</f>
        <v/>
      </c>
      <c r="H7" s="3">
        <f>SUM(B7:G7)</f>
        <v/>
      </c>
    </row>
    <row r="8">
      <c r="A8" t="inlineStr">
        <is>
          <t>(-) Taxa do gateway</t>
        </is>
      </c>
      <c r="B8" s="3">
        <f>-B6*Premissas!$B$7</f>
        <v/>
      </c>
      <c r="C8" s="3">
        <f>-C6*Premissas!$B$7</f>
        <v/>
      </c>
      <c r="D8" s="3">
        <f>-D6*Premissas!$B$7</f>
        <v/>
      </c>
      <c r="E8" s="3">
        <f>-E6*Premissas!$B$7</f>
        <v/>
      </c>
      <c r="F8" s="3">
        <f>-F6*Premissas!$B$7</f>
        <v/>
      </c>
      <c r="G8" s="3">
        <f>-G6*Premissas!$B$7</f>
        <v/>
      </c>
      <c r="H8" s="3">
        <f>SUM(B8:G8)</f>
        <v/>
      </c>
    </row>
    <row r="9">
      <c r="A9" t="inlineStr">
        <is>
          <t>(-) Custo operacional</t>
        </is>
      </c>
      <c r="B9" s="3">
        <f>-'Custos mensais'!D17</f>
        <v/>
      </c>
      <c r="C9" s="3">
        <f>-'Custos mensais'!E17</f>
        <v/>
      </c>
      <c r="D9" s="3">
        <f>-'Custos mensais'!F17</f>
        <v/>
      </c>
      <c r="E9" s="3">
        <f>-'Custos mensais'!G17</f>
        <v/>
      </c>
      <c r="F9" s="3">
        <f>-'Custos mensais'!H17</f>
        <v/>
      </c>
      <c r="G9" s="3">
        <f>-'Custos mensais'!I17</f>
        <v/>
      </c>
      <c r="H9" s="3">
        <f>SUM(B9:G9)</f>
        <v/>
      </c>
    </row>
    <row r="10">
      <c r="A10" t="inlineStr">
        <is>
          <t>(-) Mídia</t>
        </is>
      </c>
      <c r="B10" s="3">
        <f>-'Custos mensais'!D18</f>
        <v/>
      </c>
      <c r="C10" s="3">
        <f>-'Custos mensais'!E18</f>
        <v/>
      </c>
      <c r="D10" s="3">
        <f>-'Custos mensais'!F18</f>
        <v/>
      </c>
      <c r="E10" s="3">
        <f>-'Custos mensais'!G18</f>
        <v/>
      </c>
      <c r="F10" s="3">
        <f>-'Custos mensais'!H18</f>
        <v/>
      </c>
      <c r="G10" s="3">
        <f>-'Custos mensais'!I18</f>
        <v/>
      </c>
      <c r="H10" s="3">
        <f>SUM(B10:G10)</f>
        <v/>
      </c>
    </row>
    <row r="11">
      <c r="A11" s="4" t="inlineStr">
        <is>
          <t>RESULTADO ANTES DO IR</t>
        </is>
      </c>
      <c r="B11" s="5">
        <f>B6+B7+B8+B9+B10</f>
        <v/>
      </c>
      <c r="C11" s="5">
        <f>C6+C7+C8+C9+C10</f>
        <v/>
      </c>
      <c r="D11" s="5">
        <f>D6+D7+D8+D9+D10</f>
        <v/>
      </c>
      <c r="E11" s="5">
        <f>E6+E7+E8+E9+E10</f>
        <v/>
      </c>
      <c r="F11" s="5">
        <f>F6+F7+F8+F9+F10</f>
        <v/>
      </c>
      <c r="G11" s="5">
        <f>G6+G7+G8+G9+G10</f>
        <v/>
      </c>
      <c r="H11" s="5">
        <f>SUM(B11:G11)</f>
        <v/>
      </c>
    </row>
    <row r="12">
      <c r="A12" t="inlineStr">
        <is>
          <t>(-) Provisão IR (se positivo)</t>
        </is>
      </c>
      <c r="B12" s="3">
        <f>-MAX(0,B11)*Premissas!$B$8</f>
        <v/>
      </c>
      <c r="C12" s="3">
        <f>-MAX(0,C11)*Premissas!$B$8</f>
        <v/>
      </c>
      <c r="D12" s="3">
        <f>-MAX(0,D11)*Premissas!$B$8</f>
        <v/>
      </c>
      <c r="E12" s="3">
        <f>-MAX(0,E11)*Premissas!$B$8</f>
        <v/>
      </c>
      <c r="F12" s="3">
        <f>-MAX(0,F11)*Premissas!$B$8</f>
        <v/>
      </c>
      <c r="G12" s="3">
        <f>-MAX(0,G11)*Premissas!$B$8</f>
        <v/>
      </c>
      <c r="H12" s="3">
        <f>SUM(B12:G12)</f>
        <v/>
      </c>
    </row>
    <row r="13">
      <c r="A13" s="4" t="inlineStr">
        <is>
          <t>RESULTADO LÍQUIDO</t>
        </is>
      </c>
      <c r="B13" s="5">
        <f>B11+B12</f>
        <v/>
      </c>
      <c r="C13" s="5">
        <f>C11+C12</f>
        <v/>
      </c>
      <c r="D13" s="5">
        <f>D11+D12</f>
        <v/>
      </c>
      <c r="E13" s="5">
        <f>E11+E12</f>
        <v/>
      </c>
      <c r="F13" s="5">
        <f>F11+F12</f>
        <v/>
      </c>
      <c r="G13" s="5">
        <f>G11+G12</f>
        <v/>
      </c>
      <c r="H13" s="5">
        <f>SUM(B13:G13)</f>
        <v/>
      </c>
    </row>
    <row r="14">
      <c r="A14" s="4" t="inlineStr">
        <is>
          <t>CAIXA ACUMULADO</t>
        </is>
      </c>
      <c r="B14" s="5">
        <f>B13</f>
        <v/>
      </c>
      <c r="C14" s="5">
        <f>B14+C13</f>
        <v/>
      </c>
      <c r="D14" s="5">
        <f>C14+D13</f>
        <v/>
      </c>
      <c r="E14" s="5">
        <f>D14+E13</f>
        <v/>
      </c>
      <c r="F14" s="5">
        <f>E14+F13</f>
        <v/>
      </c>
      <c r="G14" s="5">
        <f>F14+G13</f>
        <v/>
      </c>
      <c r="H14" s="4" t="n"/>
    </row>
    <row r="15">
      <c r="A15" s="4" t="inlineStr">
        <is>
          <t>INVESTIMENTO NECESSÁRIO NO MÊS (aporte)</t>
        </is>
      </c>
      <c r="B15" s="5">
        <f>MAX(0,-B13)</f>
        <v/>
      </c>
      <c r="C15" s="5">
        <f>MAX(0,-C13)</f>
        <v/>
      </c>
      <c r="D15" s="5">
        <f>MAX(0,-D13)</f>
        <v/>
      </c>
      <c r="E15" s="5">
        <f>MAX(0,-E13)</f>
        <v/>
      </c>
      <c r="F15" s="5">
        <f>MAX(0,-F13)</f>
        <v/>
      </c>
      <c r="G15" s="5">
        <f>MAX(0,-G13)</f>
        <v/>
      </c>
      <c r="H15" s="5">
        <f>SUM(B15:G15)</f>
        <v/>
      </c>
    </row>
    <row r="16">
      <c r="A16" t="inlineStr">
        <is>
          <t>CAC (mídia + ligações ÷ clientes novos)</t>
        </is>
      </c>
      <c r="B16" s="3">
        <f>IF(B3&gt;0,(-B10+'Custos mensais'!D15)/B3,0)</f>
        <v/>
      </c>
      <c r="C16" s="3">
        <f>IF(C3&gt;0,(-C10+'Custos mensais'!E15)/C3,0)</f>
        <v/>
      </c>
      <c r="D16" s="3">
        <f>IF(D3&gt;0,(-D10+'Custos mensais'!F15)/D3,0)</f>
        <v/>
      </c>
      <c r="E16" s="3">
        <f>IF(E3&gt;0,(-E10+'Custos mensais'!G15)/E3,0)</f>
        <v/>
      </c>
      <c r="F16" s="3">
        <f>IF(F3&gt;0,(-F10+'Custos mensais'!H15)/F3,0)</f>
        <v/>
      </c>
      <c r="G16" s="3">
        <f>IF(G3&gt;0,(-G10+'Custos mensais'!I15)/G3,0)</f>
        <v/>
      </c>
    </row>
    <row r="18">
      <c r="A18" s="6" t="inlineStr">
        <is>
          <t>INVESTIMENTO TOTAL ATÉ SE PAGAR (pior caixa acumulado)</t>
        </is>
      </c>
      <c r="B18" s="7">
        <f>-MIN(0,MIN(B14:G14))</f>
        <v/>
      </c>
    </row>
    <row r="19">
      <c r="A19" t="inlineStr">
        <is>
          <t>Primeiro mês com resultado líquido positivo</t>
        </is>
      </c>
      <c r="B19">
        <f>IFERROR(INDEX(B1:G1,MATCH(TRUE,INDEX(B13:G13&gt;0,0),0)),"após mês 6")</f>
        <v/>
      </c>
    </row>
    <row r="21">
      <c r="A21" s="8" t="inlineStr">
        <is>
          <t>Células amarelas são editáveis. Clientes ativos seguem o plano do README; se a venda atrasar, reduza aqui e veja o aporte subir.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52" customWidth="1" min="3" max="3"/>
  </cols>
  <sheetData>
    <row r="1">
      <c r="A1" s="1" t="inlineStr">
        <is>
          <t>Premissa</t>
        </is>
      </c>
      <c r="B1" s="1" t="inlineStr">
        <is>
          <t>Valor</t>
        </is>
      </c>
      <c r="C1" s="1" t="inlineStr">
        <is>
          <t>Observação</t>
        </is>
      </c>
    </row>
    <row r="2">
      <c r="A2" t="inlineStr">
        <is>
          <t>Câmbio US$ → R$</t>
        </is>
      </c>
      <c r="B2" s="2" t="n">
        <v>5.5</v>
      </c>
      <c r="C2" t="inlineStr">
        <is>
          <t>Ajuste conforme a cotação</t>
        </is>
      </c>
    </row>
    <row r="3">
      <c r="A3" t="inlineStr">
        <is>
          <t>Ticket médio mensal por cliente (R$)</t>
        </is>
      </c>
      <c r="B3" s="2" t="n">
        <v>470</v>
      </c>
      <c r="C3" t="inlineStr">
        <is>
          <t>Mix Essencial 297 / Pro 597 / Rede 897</t>
        </is>
      </c>
    </row>
    <row r="4">
      <c r="A4" t="inlineStr">
        <is>
          <t>Setup por cliente novo (R$)</t>
        </is>
      </c>
      <c r="B4" s="2" t="n">
        <v>497</v>
      </c>
      <c r="C4" t="inlineStr">
        <is>
          <t>Metade dos clientes paga (anual isenta)</t>
        </is>
      </c>
    </row>
    <row r="5">
      <c r="A5" t="inlineStr">
        <is>
          <t>% de clientes que pagam setup</t>
        </is>
      </c>
      <c r="B5" s="9" t="n">
        <v>0.5</v>
      </c>
      <c r="C5" t="inlineStr"/>
    </row>
    <row r="6">
      <c r="A6" t="inlineStr">
        <is>
          <t>Custo variável por cliente/mês (R$)</t>
        </is>
      </c>
      <c r="B6" s="2" t="n">
        <v>110</v>
      </c>
      <c r="C6" t="inlineStr">
        <is>
          <t>WhatsApp API + IA da recepcionista + infra</t>
        </is>
      </c>
    </row>
    <row r="7">
      <c r="A7" t="inlineStr">
        <is>
          <t>Taxa do gateway Asaas (% da receita)</t>
        </is>
      </c>
      <c r="B7" s="9" t="n">
        <v>0.035</v>
      </c>
      <c r="C7" t="inlineStr">
        <is>
          <t>Média Pix/boleto/cartão</t>
        </is>
      </c>
    </row>
    <row r="8">
      <c r="A8" t="inlineStr">
        <is>
          <t>Provisão IR no CPF (% do lucro)</t>
        </is>
      </c>
      <c r="B8" s="9" t="n">
        <v>0.275</v>
      </c>
      <c r="C8" t="inlineStr">
        <is>
          <t>Carnê-leão, alíquota máxima; vira Simples com CNPJ</t>
        </is>
      </c>
    </row>
    <row r="9">
      <c r="A9" t="inlineStr">
        <is>
          <t>Custo de voz por minuto (US$)</t>
        </is>
      </c>
      <c r="B9" s="10" t="n">
        <v>0.12</v>
      </c>
      <c r="C9" t="inlineStr">
        <is>
          <t>ElevenLabs Agents + telefonia</t>
        </is>
      </c>
    </row>
    <row r="10">
      <c r="A10" t="inlineStr">
        <is>
          <t>Minutos por ligação</t>
        </is>
      </c>
      <c r="B10" s="2" t="n">
        <v>3</v>
      </c>
      <c r="C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48" customWidth="1" min="11" max="11"/>
  </cols>
  <sheetData>
    <row r="1">
      <c r="A1" s="1" t="inlineStr">
        <is>
          <t>Categoria</t>
        </is>
      </c>
      <c r="B1" s="1" t="inlineStr">
        <is>
          <t>Item</t>
        </is>
      </c>
      <c r="C1" s="1" t="inlineStr">
        <is>
          <t>Unid.</t>
        </is>
      </c>
      <c r="D1" s="1" t="inlineStr">
        <is>
          <t>Mês 1</t>
        </is>
      </c>
      <c r="E1" s="1" t="inlineStr">
        <is>
          <t>Mês 2</t>
        </is>
      </c>
      <c r="F1" s="1" t="inlineStr">
        <is>
          <t>Mês 3</t>
        </is>
      </c>
      <c r="G1" s="1" t="inlineStr">
        <is>
          <t>Mês 4</t>
        </is>
      </c>
      <c r="H1" s="1" t="inlineStr">
        <is>
          <t>Mês 5</t>
        </is>
      </c>
      <c r="I1" s="1" t="inlineStr">
        <is>
          <t>Mês 6</t>
        </is>
      </c>
      <c r="J1" s="1" t="inlineStr">
        <is>
          <t>Total 6 meses</t>
        </is>
      </c>
      <c r="K1" s="1" t="inlineStr">
        <is>
          <t>Observação</t>
        </is>
      </c>
    </row>
    <row r="2">
      <c r="A2" t="inlineStr">
        <is>
          <t>Ferramentas</t>
        </is>
      </c>
      <c r="B2" t="inlineStr">
        <is>
          <t>n8n (plano Starter)</t>
        </is>
      </c>
      <c r="C2" t="inlineStr">
        <is>
          <t>R$</t>
        </is>
      </c>
      <c r="D2" s="11" t="n">
        <v>150</v>
      </c>
      <c r="E2" s="11" t="n">
        <v>150</v>
      </c>
      <c r="F2" s="11" t="n">
        <v>150</v>
      </c>
      <c r="G2" s="11" t="n">
        <v>150</v>
      </c>
      <c r="H2" s="11" t="n">
        <v>150</v>
      </c>
      <c r="I2" s="11" t="n">
        <v>150</v>
      </c>
      <c r="J2" s="3">
        <f>IF(C2="R$",SUM(D2:I2),"")</f>
        <v/>
      </c>
      <c r="K2" t="inlineStr">
        <is>
          <t>Já existe; ajuste ao seu plano real</t>
        </is>
      </c>
    </row>
    <row r="3">
      <c r="A3" t="inlineStr">
        <is>
          <t>Ferramentas</t>
        </is>
      </c>
      <c r="B3" t="inlineStr">
        <is>
          <t>Claude para os agentes internos</t>
        </is>
      </c>
      <c r="C3" t="inlineStr">
        <is>
          <t>US$</t>
        </is>
      </c>
      <c r="D3" s="12" t="n">
        <v>40</v>
      </c>
      <c r="E3" s="12" t="n">
        <v>50</v>
      </c>
      <c r="F3" s="12" t="n">
        <v>60</v>
      </c>
      <c r="G3" s="12" t="n">
        <v>70</v>
      </c>
      <c r="H3" s="12" t="n">
        <v>80</v>
      </c>
      <c r="I3" s="12" t="n">
        <v>90</v>
      </c>
      <c r="J3" s="3">
        <f>IF(C3="R$",SUM(D3:I3),"")</f>
        <v/>
      </c>
      <c r="K3" t="inlineStr">
        <is>
          <t>Via créditos do n8n ou API; cresce com o volume</t>
        </is>
      </c>
    </row>
    <row r="4">
      <c r="A4" t="inlineStr">
        <is>
          <t>Ferramentas</t>
        </is>
      </c>
      <c r="B4" t="inlineStr">
        <is>
          <t>ElevenLabs (voz, plano Creator → Pro)</t>
        </is>
      </c>
      <c r="C4" t="inlineStr">
        <is>
          <t>US$</t>
        </is>
      </c>
      <c r="D4" s="12" t="n">
        <v>22</v>
      </c>
      <c r="E4" s="12" t="n">
        <v>22</v>
      </c>
      <c r="F4" s="12" t="n">
        <v>99</v>
      </c>
      <c r="G4" s="12" t="n">
        <v>99</v>
      </c>
      <c r="H4" s="12" t="n">
        <v>99</v>
      </c>
      <c r="I4" s="12" t="n">
        <v>99</v>
      </c>
      <c r="J4" s="3">
        <f>IF(C4="R$",SUM(D4:I4),"")</f>
        <v/>
      </c>
      <c r="K4" t="inlineStr">
        <is>
          <t>Pro no mês 3 para mais minutos/vozes</t>
        </is>
      </c>
    </row>
    <row r="5">
      <c r="A5" t="inlineStr">
        <is>
          <t>Ferramentas</t>
        </is>
      </c>
      <c r="B5" t="inlineStr">
        <is>
          <t>Domínio + landing (Vercel grátis)</t>
        </is>
      </c>
      <c r="C5" t="inlineStr">
        <is>
          <t>R$</t>
        </is>
      </c>
      <c r="D5" s="11" t="n">
        <v>40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3">
        <f>IF(C5="R$",SUM(D5:I5),"")</f>
        <v/>
      </c>
      <c r="K5" t="inlineStr">
        <is>
          <t>Domínio anual</t>
        </is>
      </c>
    </row>
    <row r="6">
      <c r="A6" t="inlineStr">
        <is>
          <t>Telefonia</t>
        </is>
      </c>
      <c r="B6" t="inlineStr">
        <is>
          <t>Chip WhatsApp da empresa</t>
        </is>
      </c>
      <c r="C6" t="inlineStr">
        <is>
          <t>R$</t>
        </is>
      </c>
      <c r="D6" s="11" t="n">
        <v>20</v>
      </c>
      <c r="E6" s="11" t="n">
        <v>20</v>
      </c>
      <c r="F6" s="11" t="n">
        <v>20</v>
      </c>
      <c r="G6" s="11" t="n">
        <v>20</v>
      </c>
      <c r="H6" s="11" t="n">
        <v>20</v>
      </c>
      <c r="I6" s="11" t="n">
        <v>20</v>
      </c>
      <c r="J6" s="3">
        <f>IF(C6="R$",SUM(D6:I6),"")</f>
        <v/>
      </c>
      <c r="K6" t="inlineStr"/>
    </row>
    <row r="7">
      <c r="A7" t="inlineStr">
        <is>
          <t>Telefonia</t>
        </is>
      </c>
      <c r="B7" t="inlineStr">
        <is>
          <t>Número BR para ligações (Twilio/SIP)</t>
        </is>
      </c>
      <c r="C7" t="inlineStr">
        <is>
          <t>R$</t>
        </is>
      </c>
      <c r="D7" s="11" t="n">
        <v>0</v>
      </c>
      <c r="E7" s="11" t="n">
        <v>50</v>
      </c>
      <c r="F7" s="11" t="n">
        <v>50</v>
      </c>
      <c r="G7" s="11" t="n">
        <v>50</v>
      </c>
      <c r="H7" s="11" t="n">
        <v>50</v>
      </c>
      <c r="I7" s="11" t="n">
        <v>50</v>
      </c>
      <c r="J7" s="3">
        <f>IF(C7="R$",SUM(D7:I7),"")</f>
        <v/>
      </c>
      <c r="K7" t="inlineStr">
        <is>
          <t>A partir da Fase 2</t>
        </is>
      </c>
    </row>
    <row r="8">
      <c r="A8" t="inlineStr">
        <is>
          <t>Telefonia</t>
        </is>
      </c>
      <c r="B8" t="inlineStr">
        <is>
          <t>Ligações de venda (nº de ligações)</t>
        </is>
      </c>
      <c r="C8" t="inlineStr">
        <is>
          <t>lig.</t>
        </is>
      </c>
      <c r="D8" s="12" t="n">
        <v>0</v>
      </c>
      <c r="E8" s="12" t="n">
        <v>100</v>
      </c>
      <c r="F8" s="12" t="n">
        <v>300</v>
      </c>
      <c r="G8" s="12" t="n">
        <v>500</v>
      </c>
      <c r="H8" s="12" t="n">
        <v>600</v>
      </c>
      <c r="I8" s="12" t="n">
        <v>600</v>
      </c>
      <c r="J8" s="3">
        <f>IF(C8="R$",SUM(D8:I8),"")</f>
        <v/>
      </c>
      <c r="K8" t="inlineStr">
        <is>
          <t>Edite o volume; custo calculado abaixo</t>
        </is>
      </c>
    </row>
    <row r="9">
      <c r="A9" t="inlineStr">
        <is>
          <t>Mídia</t>
        </is>
      </c>
      <c r="B9" t="inlineStr">
        <is>
          <t>Meta Ads</t>
        </is>
      </c>
      <c r="C9" t="inlineStr">
        <is>
          <t>R$</t>
        </is>
      </c>
      <c r="D9" s="11" t="n">
        <v>1500</v>
      </c>
      <c r="E9" s="11" t="n">
        <v>2500</v>
      </c>
      <c r="F9" s="11" t="n">
        <v>4000</v>
      </c>
      <c r="G9" s="11" t="n">
        <v>6000</v>
      </c>
      <c r="H9" s="11" t="n">
        <v>8000</v>
      </c>
      <c r="I9" s="11" t="n">
        <v>9000</v>
      </c>
      <c r="J9" s="3">
        <f>IF(C9="R$",SUM(D9:I9),"")</f>
        <v/>
      </c>
      <c r="K9" t="inlineStr">
        <is>
          <t>Principal alavanca; só sobe com CAC na meta</t>
        </is>
      </c>
    </row>
    <row r="10">
      <c r="A10" t="inlineStr">
        <is>
          <t>Administrativo</t>
        </is>
      </c>
      <c r="B10" t="inlineStr">
        <is>
          <t>Contador (após CNPJ)</t>
        </is>
      </c>
      <c r="C10" t="inlineStr">
        <is>
          <t>R$</t>
        </is>
      </c>
      <c r="D10" s="11" t="n">
        <v>0</v>
      </c>
      <c r="E10" s="11" t="n">
        <v>0</v>
      </c>
      <c r="F10" s="11" t="n">
        <v>300</v>
      </c>
      <c r="G10" s="11" t="n">
        <v>300</v>
      </c>
      <c r="H10" s="11" t="n">
        <v>300</v>
      </c>
      <c r="I10" s="11" t="n">
        <v>300</v>
      </c>
      <c r="J10" s="3">
        <f>IF(C10="R$",SUM(D10:I10),"")</f>
        <v/>
      </c>
      <c r="K10" t="inlineStr">
        <is>
          <t>CNPJ previsto no fim do mês 2</t>
        </is>
      </c>
    </row>
    <row r="11">
      <c r="A11" t="inlineStr">
        <is>
          <t>Administrativo</t>
        </is>
      </c>
      <c r="B11" t="inlineStr">
        <is>
          <t>Abertura do CNPJ (único)</t>
        </is>
      </c>
      <c r="C11" t="inlineStr">
        <is>
          <t>R$</t>
        </is>
      </c>
      <c r="D11" s="11" t="n">
        <v>0</v>
      </c>
      <c r="E11" s="11" t="n">
        <v>0</v>
      </c>
      <c r="F11" s="11" t="n">
        <v>400</v>
      </c>
      <c r="G11" s="11" t="n">
        <v>0</v>
      </c>
      <c r="H11" s="11" t="n">
        <v>0</v>
      </c>
      <c r="I11" s="11" t="n">
        <v>0</v>
      </c>
      <c r="J11" s="3">
        <f>IF(C11="R$",SUM(D11:I11),"")</f>
        <v/>
      </c>
      <c r="K11" t="inlineStr">
        <is>
          <t>Estimativa</t>
        </is>
      </c>
    </row>
    <row r="12">
      <c r="A12" t="inlineStr">
        <is>
          <t>Reserva</t>
        </is>
      </c>
      <c r="B12" t="inlineStr">
        <is>
          <t>Imprevistos (10% dos custos fixos acima)</t>
        </is>
      </c>
      <c r="C12" t="inlineStr">
        <is>
          <t>R$</t>
        </is>
      </c>
      <c r="D12" s="3">
        <f>0.1*(D2+D5+D6+D7+D10+D11+SUM(D13:D15))</f>
        <v/>
      </c>
      <c r="E12" s="3">
        <f>0.1*(E2+E5+E6+E7+E10+E11+SUM(E13:E15))</f>
        <v/>
      </c>
      <c r="F12" s="3">
        <f>0.1*(F2+F5+F6+F7+F10+F11+SUM(F13:F15))</f>
        <v/>
      </c>
      <c r="G12" s="3">
        <f>0.1*(G2+G5+G6+G7+G10+G11+SUM(G13:G15))</f>
        <v/>
      </c>
      <c r="H12" s="3">
        <f>0.1*(H2+H5+H6+H7+H10+H11+SUM(H13:H15))</f>
        <v/>
      </c>
      <c r="I12" s="3">
        <f>0.1*(I2+I5+I6+I7+I10+I11+SUM(I13:I15))</f>
        <v/>
      </c>
      <c r="J12" s="3">
        <f>IF(C12="R$",SUM(D12:I12),"")</f>
        <v/>
      </c>
      <c r="K12" t="inlineStr">
        <is>
          <t>Calculado</t>
        </is>
      </c>
    </row>
    <row r="13">
      <c r="A13" t="inlineStr">
        <is>
          <t>Conversões</t>
        </is>
      </c>
      <c r="B13" t="inlineStr">
        <is>
          <t>Claude (R$)</t>
        </is>
      </c>
      <c r="C13" t="inlineStr">
        <is>
          <t>R$</t>
        </is>
      </c>
      <c r="D13" s="3">
        <f>D3*Premissas!$B$2</f>
        <v/>
      </c>
      <c r="E13" s="3">
        <f>E3*Premissas!$B$2</f>
        <v/>
      </c>
      <c r="F13" s="3">
        <f>F3*Premissas!$B$2</f>
        <v/>
      </c>
      <c r="G13" s="3">
        <f>G3*Premissas!$B$2</f>
        <v/>
      </c>
      <c r="H13" s="3">
        <f>H3*Premissas!$B$2</f>
        <v/>
      </c>
      <c r="I13" s="3">
        <f>I3*Premissas!$B$2</f>
        <v/>
      </c>
      <c r="J13" s="3">
        <f>IF(C13="R$",SUM(D13:I13),"")</f>
        <v/>
      </c>
    </row>
    <row r="14">
      <c r="A14" t="inlineStr">
        <is>
          <t>Conversões</t>
        </is>
      </c>
      <c r="B14" t="inlineStr">
        <is>
          <t>ElevenLabs (R$)</t>
        </is>
      </c>
      <c r="C14" t="inlineStr">
        <is>
          <t>R$</t>
        </is>
      </c>
      <c r="D14" s="3">
        <f>D4*Premissas!$B$2</f>
        <v/>
      </c>
      <c r="E14" s="3">
        <f>E4*Premissas!$B$2</f>
        <v/>
      </c>
      <c r="F14" s="3">
        <f>F4*Premissas!$B$2</f>
        <v/>
      </c>
      <c r="G14" s="3">
        <f>G4*Premissas!$B$2</f>
        <v/>
      </c>
      <c r="H14" s="3">
        <f>H4*Premissas!$B$2</f>
        <v/>
      </c>
      <c r="I14" s="3">
        <f>I4*Premissas!$B$2</f>
        <v/>
      </c>
      <c r="J14" s="3">
        <f>IF(C14="R$",SUM(D14:I14),"")</f>
        <v/>
      </c>
    </row>
    <row r="15">
      <c r="A15" t="inlineStr">
        <is>
          <t>Conversões</t>
        </is>
      </c>
      <c r="B15" t="inlineStr">
        <is>
          <t>Custo das ligações (R$)</t>
        </is>
      </c>
      <c r="C15" t="inlineStr">
        <is>
          <t>R$</t>
        </is>
      </c>
      <c r="D15" s="3">
        <f>D8*Premissas!$B$10*Premissas!$B$9*Premissas!$B$2</f>
        <v/>
      </c>
      <c r="E15" s="3">
        <f>E8*Premissas!$B$10*Premissas!$B$9*Premissas!$B$2</f>
        <v/>
      </c>
      <c r="F15" s="3">
        <f>F8*Premissas!$B$10*Premissas!$B$9*Premissas!$B$2</f>
        <v/>
      </c>
      <c r="G15" s="3">
        <f>G8*Premissas!$B$10*Premissas!$B$9*Premissas!$B$2</f>
        <v/>
      </c>
      <c r="H15" s="3">
        <f>H8*Premissas!$B$10*Premissas!$B$9*Premissas!$B$2</f>
        <v/>
      </c>
      <c r="I15" s="3">
        <f>I8*Premissas!$B$10*Premissas!$B$9*Premissas!$B$2</f>
        <v/>
      </c>
      <c r="J15" s="3">
        <f>IF(C15="R$",SUM(D15:I15),"")</f>
        <v/>
      </c>
    </row>
    <row r="16">
      <c r="D16" s="3" t="n"/>
      <c r="E16" s="3" t="n"/>
      <c r="F16" s="3" t="n"/>
      <c r="G16" s="3" t="n"/>
      <c r="H16" s="3" t="n"/>
      <c r="I16" s="3" t="n"/>
      <c r="J16" s="3">
        <f>IF(C16="R$",SUM(D16:I16),"")</f>
        <v/>
      </c>
    </row>
    <row r="17">
      <c r="B17" s="13" t="inlineStr">
        <is>
          <t>CUSTO OPERACIONAL (sem mídia)</t>
        </is>
      </c>
      <c r="D17" s="5">
        <f>D2+D5+D6+D7+D10+D11+D12+SUM(D13:D15)</f>
        <v/>
      </c>
      <c r="E17" s="5">
        <f>E2+E5+E6+E7+E10+E11+E12+SUM(E13:E15)</f>
        <v/>
      </c>
      <c r="F17" s="5">
        <f>F2+F5+F6+F7+F10+F11+F12+SUM(F13:F15)</f>
        <v/>
      </c>
      <c r="G17" s="5">
        <f>G2+G5+G6+G7+G10+G11+G12+SUM(G13:G15)</f>
        <v/>
      </c>
      <c r="H17" s="5">
        <f>H2+H5+H6+H7+H10+H11+H12+SUM(H13:H15)</f>
        <v/>
      </c>
      <c r="I17" s="5">
        <f>I2+I5+I6+I7+I10+I11+I12+SUM(I13:I15)</f>
        <v/>
      </c>
      <c r="J17" s="5">
        <f>SUM(D17:I17)</f>
        <v/>
      </c>
    </row>
    <row r="18">
      <c r="B18" s="13" t="inlineStr">
        <is>
          <t>MÍDIA</t>
        </is>
      </c>
      <c r="D18" s="5">
        <f>D9</f>
        <v/>
      </c>
      <c r="E18" s="5">
        <f>E9</f>
        <v/>
      </c>
      <c r="F18" s="5">
        <f>F9</f>
        <v/>
      </c>
      <c r="G18" s="5">
        <f>G9</f>
        <v/>
      </c>
      <c r="H18" s="5">
        <f>H9</f>
        <v/>
      </c>
      <c r="I18" s="5">
        <f>I9</f>
        <v/>
      </c>
      <c r="J18" s="5">
        <f>SUM(D18:I18)</f>
        <v/>
      </c>
    </row>
    <row r="19">
      <c r="B19" s="13" t="inlineStr">
        <is>
          <t>CUSTO FIXO TOTAL DO MÊS</t>
        </is>
      </c>
      <c r="D19" s="5">
        <f>D17+D18</f>
        <v/>
      </c>
      <c r="E19" s="5">
        <f>E17+E18</f>
        <v/>
      </c>
      <c r="F19" s="5">
        <f>F17+F18</f>
        <v/>
      </c>
      <c r="G19" s="5">
        <f>G17+G18</f>
        <v/>
      </c>
      <c r="H19" s="5">
        <f>H17+H18</f>
        <v/>
      </c>
      <c r="I19" s="5">
        <f>I17+I18</f>
        <v/>
      </c>
      <c r="J19" s="5">
        <f>SUM(D19:I19)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2026-10-21T17:31:28Z</dcterms:created>
  <dcterms:modified xmlns:dcterms="http://purl.org/dc/terms/" xmlns:xsi="http://www.w3.org/2001/XMLSchema-instance" xsi:type="dcterms:W3CDTF">2026-10-21T17:31:28Z</dcterms:modified>
</cp:coreProperties>
</file>